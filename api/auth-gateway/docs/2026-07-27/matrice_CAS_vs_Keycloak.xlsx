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<sst xmlns="http://schemas.openxmlformats.org/spreadsheetml/2006/main" count="99" uniqueCount="64">
  <si>
    <t xml:space="preserve">NB : « Kicklock » est traité ici comme Keycloak (hypothèse la plus probable au vu du contexte, produit IAM open source concurrent de CAS). Complexité notée de 1 (faible) a 5 (tres forte).</t>
  </si>
  <si>
    <t xml:space="preserve">Solution : remplacer CAS par Keycloak</t>
  </si>
  <si>
    <t xml:space="preserve">Keycloak standard</t>
  </si>
  <si>
    <t xml:space="preserve">Liste des cas d'usages de CAS</t>
  </si>
  <si>
    <t xml:space="preserve">oui/?/non</t>
  </si>
  <si>
    <t xml:space="preserve">Complexité</t>
  </si>
  <si>
    <t xml:space="preserve">Constat (issu de l'analyse du code cas/ et api-iam/)</t>
  </si>
  <si>
    <t xml:space="preserve">Authentification login / mot de passe</t>
  </si>
  <si>
    <t xml:space="preserve">oui</t>
  </si>
  <si>
    <t xml:space="preserve">Nativement gere (LoginPwdAuthenticationHandler cote CAS delegue a l'API IAM).</t>
  </si>
  <si>
    <t xml:space="preserve">Authentification déléguée SAML2</t>
  </si>
  <si>
    <t xml:space="preserve">Identity Brokering SAML natif Keycloak ; a remapper le modele IdentityProvider (technicalName, AuthnRequestBindingEnum) et SpMetadataGenerator.</t>
  </si>
  <si>
    <t xml:space="preserve">Authentification déléguée OpenID Connect (OIDC)</t>
  </si>
  <si>
    <t xml:space="preserve">Identity Brokering OIDC natif ; meme modele IdentityProvider a migrer, mapping attributs a refaire.</t>
  </si>
  <si>
    <t xml:space="preserve">Authentification par certificat client (X509)</t>
  </si>
  <si>
    <t xml:space="preserve">?</t>
  </si>
  <si>
    <t xml:space="preserve">Authenticator X509 existe (browser flow) mais l'extraction via en-tete (RequestHeaderX509CertificateExtractor, cote reverse-proxy) est specifique et a reimplementer en SPI.</t>
  </si>
  <si>
    <t xml:space="preserve">Authentification multi-facteurs (MFA)</t>
  </si>
  <si>
    <t xml:space="preserve">OTP natif (TOTP/e-mail) ; le canal SMS actuel (cas-server-support-sms-smsmode, CustomSendTokenAction) n'a pas d'equivalent standard -&gt; SPI custom necessaire.</t>
  </si>
  <si>
    <t xml:space="preserve">Subrogation admin (de l'utilisateur générique d'organisation, sans validation)</t>
  </si>
  <si>
    <t xml:space="preserve">non</t>
  </si>
  <si>
    <t xml:space="preserve">Pas d'equivalent : Keycloak propose l'impersonation admin (console) mais pas le concept 'utilisateur generique d'organisation' ni le flux dedie (IamSurrogateAuthenticationService, InitializeSubrogationAction).</t>
  </si>
  <si>
    <t xml:space="preserve">Subrogation (d'un utilisateur "non générique", avec validation par l'utilisateur)</t>
  </si>
  <si>
    <t xml:space="preserve">Aucun mecanisme standard de delegation avec acceptation par le delegue (SubrogationStatusEnum CREATED/ACCEPTED) -&gt; a redevelopper entierement (SPI + UI).</t>
  </si>
  <si>
    <t xml:space="preserve">Gestion du mot de passe</t>
  </si>
  <si>
    <t xml:space="preserve">Politiques de base OK, mais historique des mots de passe (oldPasswords), expiration (passwordExpirationDate) et le flux i18n de reset (I18NSendPasswordResetInstructionsAction) sont customs -&gt; SPI a ecrire.</t>
  </si>
  <si>
    <t xml:space="preserve">Gestion multi-domaine sur organisation</t>
  </si>
  <si>
    <t xml:space="preserve">Le multi-tenant Keycloak se fait par royaumes (realms) ; le modele VitamUI (un utilisateur, plusieurs 'customers'/tenants, selection via ListCustomersAction/CustomerSelectedAction) ne correspond pas au decoupage par realm -&gt; refonte du modele multi-tenant.</t>
  </si>
  <si>
    <t xml:space="preserve">SSO et déconnexion globale (Single Logout)</t>
  </si>
  <si>
    <t xml:space="preserve">SLO natif Keycloak ; a reprendre la logique de fermeture de session API (TerminateApiSessionAction) et de logout des IdP delegues (CustomDelegatedAuthenticationClientLogoutAction).</t>
  </si>
  <si>
    <t xml:space="preserve">autres oubliés ????</t>
  </si>
  <si>
    <t xml:space="preserve">Sous total complexité reprise des cas d'usages</t>
  </si>
  <si>
    <t xml:space="preserve">Packaging, Intégration initiale</t>
  </si>
  <si>
    <t xml:space="preserve">Nouveau composant (serveur Keycloak) a integrer dans le packaging RPM/Ansible existant, en remplacement du module cas/cas-server.</t>
  </si>
  <si>
    <t xml:space="preserve">Deploiement / configuration / supervision</t>
  </si>
  <si>
    <t xml:space="preserve">Nouvelle stack a deployer, configurer (royaumes, clients, mappers) et superviser ; a retirer l'existant (roles Ansible cas-server).</t>
  </si>
  <si>
    <t xml:space="preserve">Tests d'intégration généraux</t>
  </si>
  <si>
    <t xml:space="preserve">Couverture de tests CAS existante (BaseWebflowActionTest et ~15 classes de test) a rejouer/reecrire integralement pour Keycloak.</t>
  </si>
  <si>
    <t xml:space="preserve">Grand Total</t>
  </si>
  <si>
    <t xml:space="preserve">Solution : montée sur la dernière version de CAS en faisant des travaux d'architecture pour mieux l'intégrer</t>
  </si>
  <si>
    <t xml:space="preserve">impacté par MDV</t>
  </si>
  <si>
    <t xml:space="preserve">Liste des cas d'usages à adapter pour montée de version CAS</t>
  </si>
  <si>
    <t xml:space="preserve">cas.version deja en 7.0.10.1 (Apereo CAS 7) ; LoginPwdAuthenticationHandler stable, pas d'API breaking connue.</t>
  </si>
  <si>
    <t xml:space="preserve">Base pac4j-core / saml-core deja en v6.x, code IdentityProvider deja aligne API courante.</t>
  </si>
  <si>
    <t xml:space="preserve">cas-server-support-oidc deja present et fonctionnel.</t>
  </si>
  <si>
    <t xml:space="preserve">x509-core/x509-webflow deja integres (X509CasDelegatingWebflowEventResolver).</t>
  </si>
  <si>
    <t xml:space="preserve">simple-mfa deja en place (VitamMfaWebflowConfigurer, CheckMfaTokenAction).</t>
  </si>
  <si>
    <t xml:space="preserve">surrogate-authentication deja integre (IamSurrogateAuthenticationService) ; a verifier la compatibilite des overrides (CustomSurrogateInitialAuthenticationAction) avec la derniere version mineure.</t>
  </si>
  <si>
    <t xml:space="preserve">Idem, flux InitializeSubrogationAction/ListCustomersAction/CustomerSelectedAction a revalider apres MDV.</t>
  </si>
  <si>
    <t xml:space="preserve">pm-core/pm-webflow deja utilises (IamPasswordManagementService) ; a revalider apres MDV (API webflow parfois modifiee entre versions mineures).</t>
  </si>
  <si>
    <t xml:space="preserve">Logique CustomerModel/CustomerSelectedAction proprietaire VitamUI, non fournie par CAS -&gt; impact limite a la MDV elle-meme.</t>
  </si>
  <si>
    <t xml:space="preserve">TerminateApiSessionAction et CustomDelegatedAuthenticationClientLogoutAction deja en place.</t>
  </si>
  <si>
    <t xml:space="preserve">exemple - refactorer le workflow de connexion</t>
  </si>
  <si>
    <t xml:space="preserve">VitamLoginWebflowConfigurer / DispatcherAction : clarifier la separation login classique vs delegue vs subrogation dans le webflow.</t>
  </si>
  <si>
    <t xml:space="preserve">exemple - refactorer le chargement des fournisseurs d'identité</t>
  </si>
  <si>
    <t xml:space="preserve">ProvidersService / CustomDelegatedIdentityProviders : simplifier le mapping Pac4jClientIdentityProviderDto.</t>
  </si>
  <si>
    <t xml:space="preserve">exemple - refactorer le changement de mot de passe</t>
  </si>
  <si>
    <t xml:space="preserve">ResetPasswordController / TriggerChangePasswordAction : mutualiser avec I18NSendPasswordResetInstructionsAction.</t>
  </si>
  <si>
    <t xml:space="preserve">exemple - refactorer la gestion multi-domaine</t>
  </si>
  <si>
    <t xml:space="preserve">CustomerModel / ListCustomersAction / CustomerSelectedAction : clarifier le modele de selection de customer/tenant.</t>
  </si>
  <si>
    <t xml:space="preserve">autres refactoration...</t>
  </si>
  <si>
    <t xml:space="preserve">Meme module cas/cas-server conserve ; mise a jour de version + dependances (pom.xml, bom/pom.xml) et RPM existant.</t>
  </si>
  <si>
    <t xml:space="preserve">Roles Ansible existants reconduits, ajustements de configuration mineurs.</t>
  </si>
  <si>
    <t xml:space="preserve">Suite de tests CAS existante (deja ~15 classes) rejouee et completee sur les zones refactorees.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</si>
</sst>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</row>
    <row r="6" customFormat="false" ht="30" hidden="false" customHeight="true" outlineLevel="0" collapsed="false">
      <c r="A6" s="6" t="s">
        <v>7</v>
      </c>
      <c r="B6" s="7" t="s">
        <v>8</v>
      </c>
      <c r="C6" s="7" t="n">
        <v>1</v>
      </c>
      <c r="D6" s="6" t="s">
        <v>9</v>
      </c>
    </row>
    <row r="7" customFormat="false" ht="30" hidden="false" customHeight="true" outlineLevel="0" collapsed="false">
      <c r="A7" s="6" t="s">
        <v>10</v>
      </c>
      <c r="B7" s="7" t="s">
        <v>8</v>
      </c>
      <c r="C7" s="7" t="n">
        <v>2</v>
      </c>
      <c r="D7" s="6" t="s">
        <v>11</v>
      </c>
    </row>
    <row r="8" customFormat="false" ht="30" hidden="false" customHeight="true" outlineLevel="0" collapsed="false">
      <c r="A8" s="6" t="s">
        <v>12</v>
      </c>
      <c r="B8" s="7" t="s">
        <v>8</v>
      </c>
      <c r="C8" s="7" t="n">
        <v>2</v>
      </c>
      <c r="D8" s="6" t="s">
        <v>13</v>
      </c>
    </row>
    <row r="9" customFormat="false" ht="30" hidden="false" customHeight="true" outlineLevel="0" collapsed="false">
      <c r="A9" s="6" t="s">
        <v>14</v>
      </c>
      <c r="B9" s="7" t="s">
        <v>15</v>
      </c>
      <c r="C9" s="7" t="n">
        <v>3</v>
      </c>
      <c r="D9" s="6" t="s">
        <v>16</v>
      </c>
    </row>
    <row r="10" customFormat="false" ht="30" hidden="false" customHeight="true" outlineLevel="0" collapsed="false">
      <c r="A10" s="6" t="s">
        <v>17</v>
      </c>
      <c r="B10" s="7" t="s">
        <v>15</v>
      </c>
      <c r="C10" s="7" t="n">
        <v>3</v>
      </c>
      <c r="D10" s="6" t="s">
        <v>18</v>
      </c>
    </row>
    <row r="11" customFormat="false" ht="30" hidden="false" customHeight="true" outlineLevel="0" collapsed="false">
      <c r="A11" s="6" t="s">
        <v>19</v>
      </c>
      <c r="B11" s="7" t="s">
        <v>20</v>
      </c>
      <c r="C11" s="7" t="n">
        <v>5</v>
      </c>
      <c r="D11" s="6" t="s">
        <v>21</v>
      </c>
    </row>
    <row r="12" customFormat="false" ht="30" hidden="false" customHeight="true" outlineLevel="0" collapsed="false">
      <c r="A12" s="6" t="s">
        <v>22</v>
      </c>
      <c r="B12" s="7" t="s">
        <v>20</v>
      </c>
      <c r="C12" s="7" t="n">
        <v>5</v>
      </c>
      <c r="D12" s="6" t="s">
        <v>23</v>
      </c>
    </row>
    <row r="13" customFormat="false" ht="30" hidden="false" customHeight="true" outlineLevel="0" collapsed="false">
      <c r="A13" s="6" t="s">
        <v>24</v>
      </c>
      <c r="B13" s="7" t="s">
        <v>15</v>
      </c>
      <c r="C13" s="7" t="n">
        <v>3</v>
      </c>
      <c r="D13" s="6" t="s">
        <v>25</v>
      </c>
    </row>
    <row r="14" customFormat="false" ht="30" hidden="false" customHeight="true" outlineLevel="0" collapsed="false">
      <c r="A14" s="6" t="s">
        <v>26</v>
      </c>
      <c r="B14" s="7" t="s">
        <v>15</v>
      </c>
      <c r="C14" s="7" t="n">
        <v>4</v>
      </c>
      <c r="D14" s="6" t="s">
        <v>27</v>
      </c>
    </row>
    <row r="15" customFormat="false" ht="30" hidden="false" customHeight="true" outlineLevel="0" collapsed="false">
      <c r="A15" s="6" t="s">
        <v>28</v>
      </c>
      <c r="B15" s="7" t="s">
        <v>8</v>
      </c>
      <c r="C15" s="7" t="n">
        <v>2</v>
      </c>
      <c r="D15" s="6" t="s">
        <v>29</v>
      </c>
    </row>
    <row r="16" customFormat="false" ht="30" hidden="false" customHeight="true" outlineLevel="0" collapsed="false">
      <c r="A16" s="8" t="s">
        <v>30</v>
      </c>
      <c r="B16" s="9"/>
      <c r="C16" s="9"/>
      <c r="D16" s="8"/>
    </row>
    <row r="17" customFormat="false" ht="15" hidden="false" customHeight="false" outlineLevel="0" collapsed="false">
      <c r="A17" s="4" t="s">
        <v>31</v>
      </c>
      <c r="B17" s="10"/>
      <c r="C17" s="5" t="n">
        <f aca="false">SUM(C6:C16)</f>
        <v>30</v>
      </c>
      <c r="D17" s="10"/>
    </row>
    <row r="18" customFormat="false" ht="27.75" hidden="false" customHeight="true" outlineLevel="0" collapsed="false">
      <c r="A18" s="6" t="s">
        <v>32</v>
      </c>
      <c r="B18" s="11"/>
      <c r="C18" s="7" t="n">
        <v>5</v>
      </c>
      <c r="D18" s="6" t="s">
        <v>33</v>
      </c>
    </row>
    <row r="19" customFormat="false" ht="27.75" hidden="false" customHeight="true" outlineLevel="0" collapsed="false">
      <c r="A19" s="6" t="s">
        <v>34</v>
      </c>
      <c r="B19" s="11"/>
      <c r="C19" s="7" t="n">
        <v>4</v>
      </c>
      <c r="D19" s="6" t="s">
        <v>35</v>
      </c>
    </row>
    <row r="20" customFormat="false" ht="27.75" hidden="false" customHeight="true" outlineLevel="0" collapsed="false">
      <c r="A20" s="6" t="s">
        <v>36</v>
      </c>
      <c r="B20" s="11"/>
      <c r="C20" s="7" t="n">
        <v>4</v>
      </c>
      <c r="D20" s="6" t="s">
        <v>37</v>
      </c>
    </row>
    <row r="21" customFormat="false" ht="15" hidden="false" customHeight="false" outlineLevel="0" collapsed="false">
      <c r="A21" s="12" t="s">
        <v>38</v>
      </c>
      <c r="B21" s="13"/>
      <c r="C21" s="14" t="n">
        <f aca="false">C17+SUM(C18:C20)</f>
        <v>43</v>
      </c>
      <c r="D21" s="13"/>
    </row>
    <row r="24" customFormat="false" ht="15" hidden="false" customHeight="false" outlineLevel="0" collapsed="false">
      <c r="A24" s="2" t="s">
        <v>39</v>
      </c>
      <c r="B24" s="2"/>
      <c r="C24" s="2"/>
      <c r="D24" s="2"/>
    </row>
    <row r="25" customFormat="false" ht="15" hidden="false" customHeight="false" outlineLevel="0" collapsed="false">
      <c r="B25" s="3" t="s">
        <v>40</v>
      </c>
    </row>
    <row r="26" customFormat="false" ht="15" hidden="false" customHeight="false" outlineLevel="0" collapsed="false">
      <c r="A26" s="4" t="s">
        <v>41</v>
      </c>
      <c r="B26" s="5" t="s">
        <v>4</v>
      </c>
      <c r="C26" s="5" t="s">
        <v>5</v>
      </c>
      <c r="D26" s="4" t="s">
        <v>6</v>
      </c>
    </row>
    <row r="27" customFormat="false" ht="30" hidden="false" customHeight="true" outlineLevel="0" collapsed="false">
      <c r="A27" s="6" t="s">
        <v>7</v>
      </c>
      <c r="B27" s="7" t="s">
        <v>20</v>
      </c>
      <c r="C27" s="7" t="n">
        <v>1</v>
      </c>
      <c r="D27" s="6" t="s">
        <v>42</v>
      </c>
    </row>
    <row r="28" customFormat="false" ht="30" hidden="false" customHeight="true" outlineLevel="0" collapsed="false">
      <c r="A28" s="6" t="s">
        <v>10</v>
      </c>
      <c r="B28" s="7" t="s">
        <v>20</v>
      </c>
      <c r="C28" s="7" t="n">
        <v>1</v>
      </c>
      <c r="D28" s="6" t="s">
        <v>43</v>
      </c>
    </row>
    <row r="29" customFormat="false" ht="30" hidden="false" customHeight="true" outlineLevel="0" collapsed="false">
      <c r="A29" s="6" t="s">
        <v>12</v>
      </c>
      <c r="B29" s="7" t="s">
        <v>20</v>
      </c>
      <c r="C29" s="7" t="n">
        <v>1</v>
      </c>
      <c r="D29" s="6" t="s">
        <v>44</v>
      </c>
    </row>
    <row r="30" customFormat="false" ht="30" hidden="false" customHeight="true" outlineLevel="0" collapsed="false">
      <c r="A30" s="6" t="s">
        <v>14</v>
      </c>
      <c r="B30" s="7" t="s">
        <v>20</v>
      </c>
      <c r="C30" s="7" t="n">
        <v>1</v>
      </c>
      <c r="D30" s="6" t="s">
        <v>45</v>
      </c>
    </row>
    <row r="31" customFormat="false" ht="30" hidden="false" customHeight="true" outlineLevel="0" collapsed="false">
      <c r="A31" s="6" t="s">
        <v>17</v>
      </c>
      <c r="B31" s="7" t="s">
        <v>20</v>
      </c>
      <c r="C31" s="7" t="n">
        <v>1</v>
      </c>
      <c r="D31" s="6" t="s">
        <v>46</v>
      </c>
    </row>
    <row r="32" customFormat="false" ht="30" hidden="false" customHeight="true" outlineLevel="0" collapsed="false">
      <c r="A32" s="6" t="s">
        <v>19</v>
      </c>
      <c r="B32" s="7" t="s">
        <v>15</v>
      </c>
      <c r="C32" s="7" t="n">
        <v>2</v>
      </c>
      <c r="D32" s="6" t="s">
        <v>47</v>
      </c>
    </row>
    <row r="33" customFormat="false" ht="30" hidden="false" customHeight="true" outlineLevel="0" collapsed="false">
      <c r="A33" s="6" t="s">
        <v>22</v>
      </c>
      <c r="B33" s="7" t="s">
        <v>15</v>
      </c>
      <c r="C33" s="7" t="n">
        <v>2</v>
      </c>
      <c r="D33" s="6" t="s">
        <v>48</v>
      </c>
    </row>
    <row r="34" customFormat="false" ht="30" hidden="false" customHeight="true" outlineLevel="0" collapsed="false">
      <c r="A34" s="6" t="s">
        <v>24</v>
      </c>
      <c r="B34" s="7" t="s">
        <v>15</v>
      </c>
      <c r="C34" s="7" t="n">
        <v>2</v>
      </c>
      <c r="D34" s="6" t="s">
        <v>49</v>
      </c>
    </row>
    <row r="35" customFormat="false" ht="30" hidden="false" customHeight="true" outlineLevel="0" collapsed="false">
      <c r="A35" s="6" t="s">
        <v>26</v>
      </c>
      <c r="B35" s="7" t="s">
        <v>15</v>
      </c>
      <c r="C35" s="7" t="n">
        <v>2</v>
      </c>
      <c r="D35" s="6" t="s">
        <v>50</v>
      </c>
    </row>
    <row r="36" customFormat="false" ht="30" hidden="false" customHeight="true" outlineLevel="0" collapsed="false">
      <c r="A36" s="6" t="s">
        <v>28</v>
      </c>
      <c r="B36" s="7" t="s">
        <v>20</v>
      </c>
      <c r="C36" s="7" t="n">
        <v>1</v>
      </c>
      <c r="D36" s="6" t="s">
        <v>51</v>
      </c>
    </row>
    <row r="37" customFormat="false" ht="30" hidden="false" customHeight="true" outlineLevel="0" collapsed="false">
      <c r="A37" s="8" t="s">
        <v>52</v>
      </c>
      <c r="B37" s="9"/>
      <c r="C37" s="9" t="n">
        <v>3</v>
      </c>
      <c r="D37" s="8" t="s">
        <v>53</v>
      </c>
    </row>
    <row r="38" customFormat="false" ht="30" hidden="false" customHeight="true" outlineLevel="0" collapsed="false">
      <c r="A38" s="8" t="s">
        <v>54</v>
      </c>
      <c r="B38" s="9"/>
      <c r="C38" s="9" t="n">
        <v>3</v>
      </c>
      <c r="D38" s="8" t="s">
        <v>55</v>
      </c>
    </row>
    <row r="39" customFormat="false" ht="30" hidden="false" customHeight="true" outlineLevel="0" collapsed="false">
      <c r="A39" s="8" t="s">
        <v>56</v>
      </c>
      <c r="B39" s="9"/>
      <c r="C39" s="9" t="n">
        <v>2</v>
      </c>
      <c r="D39" s="8" t="s">
        <v>57</v>
      </c>
    </row>
    <row r="40" customFormat="false" ht="30" hidden="false" customHeight="true" outlineLevel="0" collapsed="false">
      <c r="A40" s="8" t="s">
        <v>58</v>
      </c>
      <c r="B40" s="9"/>
      <c r="C40" s="9" t="n">
        <v>3</v>
      </c>
      <c r="D40" s="8" t="s">
        <v>59</v>
      </c>
    </row>
    <row r="41" customFormat="false" ht="30" hidden="false" customHeight="true" outlineLevel="0" collapsed="false">
      <c r="A41" s="8" t="s">
        <v>60</v>
      </c>
      <c r="B41" s="9"/>
      <c r="C41" s="9"/>
      <c r="D41" s="8"/>
    </row>
    <row r="42" customFormat="false" ht="15" hidden="false" customHeight="false" outlineLevel="0" collapsed="false">
      <c r="A42" s="4" t="s">
        <v>31</v>
      </c>
      <c r="B42" s="10"/>
      <c r="C42" s="5" t="n">
        <f aca="false">SUM(C27:C41)</f>
        <v>25</v>
      </c>
      <c r="D42" s="10"/>
    </row>
    <row r="43" customFormat="false" ht="27.75" hidden="false" customHeight="true" outlineLevel="0" collapsed="false">
      <c r="A43" s="6" t="s">
        <v>32</v>
      </c>
      <c r="B43" s="11"/>
      <c r="C43" s="7" t="n">
        <v>2</v>
      </c>
      <c r="D43" s="6" t="s">
        <v>61</v>
      </c>
    </row>
    <row r="44" customFormat="false" ht="27.75" hidden="false" customHeight="true" outlineLevel="0" collapsed="false">
      <c r="A44" s="6" t="s">
        <v>34</v>
      </c>
      <c r="B44" s="11"/>
      <c r="C44" s="7" t="n">
        <v>2</v>
      </c>
      <c r="D44" s="6" t="s">
        <v>62</v>
      </c>
    </row>
    <row r="45" customFormat="false" ht="27.75" hidden="false" customHeight="true" outlineLevel="0" collapsed="false">
      <c r="A45" s="6" t="s">
        <v>36</v>
      </c>
      <c r="B45" s="11"/>
      <c r="C45" s="7" t="n">
        <v>2</v>
      </c>
      <c r="D45" s="6" t="s">
        <v>63</v>
      </c>
    </row>
    <row r="46" customFormat="false" ht="15" hidden="false" customHeight="false" outlineLevel="0" collapsed="false">
      <c r="A46" s="12" t="s">
        <v>38</v>
      </c>
      <c r="B46" s="13"/>
      <c r="C46" s="14" t="n">
        <f aca="false">C42+SUM(C43:C45)</f>
        <v>31</v>
      </c>
      <c r="D46" s="13"/>
    </row>
  </sheetData>
  <mergeCells count="3">
    <mergeCell ref="A1:D1"/>
    <mergeCell ref="A3:D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2026-07-27T15:52:14Z</dcterms:created>
  <dc:creator>openpyxl</dc:creator>
  <dc:description/>
  <dc:language>en-US</dc:language>
  <cp:lastModifiedBy/>
  <dcterms:modified xsi:type="dcterms:W3CDTF">2026-07-27T15:52:14Z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